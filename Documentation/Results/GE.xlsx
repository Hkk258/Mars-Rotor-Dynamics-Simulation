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6.0-win64\OpenVSP_Projects\noTwistConstantC\"/>
    </mc:Choice>
  </mc:AlternateContent>
  <xr:revisionPtr revIDLastSave="0" documentId="13_ncr:1_{CEA273B9-9E60-4D6F-89AC-79026F2A9385}" xr6:coauthVersionLast="47" xr6:coauthVersionMax="47" xr10:uidLastSave="{00000000-0000-0000-0000-000000000000}"/>
  <bookViews>
    <workbookView xWindow="-120" yWindow="-120" windowWidth="29040" windowHeight="16440" activeTab="1" xr2:uid="{3463144B-0C24-4DD9-81B8-C5E7EC75B0F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3" l="1" a="1"/>
  <c r="B48" i="3" s="1"/>
  <c r="P5" i="3" a="1"/>
  <c r="P5" i="3" s="1"/>
  <c r="O5" i="3" a="1"/>
  <c r="O5" i="3" s="1"/>
  <c r="N47" i="3"/>
  <c r="U4" i="3" a="1"/>
  <c r="U4" i="3" s="1"/>
  <c r="T4" i="3" a="1"/>
  <c r="T4" i="3" s="1"/>
  <c r="C47" i="3"/>
  <c r="D47" i="3"/>
  <c r="E47" i="3"/>
  <c r="F47" i="3"/>
  <c r="G47" i="3"/>
  <c r="H47" i="3"/>
  <c r="I47" i="3"/>
  <c r="J47" i="3"/>
  <c r="K47" i="3"/>
  <c r="L47" i="3"/>
  <c r="B4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<sst xmlns="http://schemas.openxmlformats.org/spreadsheetml/2006/main" count="9" uniqueCount="9">
  <si>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Ground Effect</t>
  </si>
  <si>
    <t>h/R</t>
  </si>
  <si>
    <t>T</t>
  </si>
  <si>
    <t>T/Tinf</t>
  </si>
  <si>
    <t>Alpha = 0.5</t>
  </si>
  <si>
    <t>Vinf = 0.5 m/s</t>
  </si>
  <si>
    <t>h (m)</t>
  </si>
  <si>
    <t>R = 0.46 m</t>
  </si>
  <si>
    <t>Tinf = 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</si>
</sst>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9">
    <xf numFmtId="0" fontId="0" fillId="0" borderId="0" xfId="0"/>
    <xf numFmtId="0" fontId="2" fillId="0" borderId="1" xfId="2"/>
    <xf numFmtId="0" fontId="2" fillId="0" borderId="1" xfId="2" applyAlignment="1">
      <alignment horizontal="center" vertical="center"/>
    </xf>
    <xf numFmtId="0" fontId="1" fillId="0" borderId="1" xfId="1" applyBorder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0" xfId="0" applyFill="1"/>
  </cellXfs>
  <cellStyles count="3">
    <cellStyle name="Heading 1" xfId="2" builtinId="16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Sheet3!$B$3:$L$3</c:f>
              <c:numCache>
                <c:formatCode>General</c:formatCode>
                <c:ptCount val="1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</c:numCache>
            </c:numRef>
          </c:xVal>
          <c:yVal>
            <c:numRef>
              <c:f>Sheet3!$B$47:$L$47</c:f>
              <c:numCache>
                <c:formatCode>0.00E+00</c:formatCode>
                <c:ptCount val="11"/>
                <c:pt idx="0">
                  <c:v>8.7623499999999961</c:v>
                </c:pt>
                <c:pt idx="1">
                  <c:v>8.7285749999999958</c:v>
                </c:pt>
                <c:pt idx="2">
                  <c:v>8.7282999999999937</c:v>
                </c:pt>
                <c:pt idx="3">
                  <c:v>8.7270249999999976</c:v>
                </c:pt>
                <c:pt idx="4">
                  <c:v>8.7269749999999959</c:v>
                </c:pt>
                <c:pt idx="5">
                  <c:v>8.7215499999999988</c:v>
                </c:pt>
                <c:pt idx="6">
                  <c:v>8.726174999999996</c:v>
                </c:pt>
                <c:pt idx="7">
                  <c:v>8.7266499999999958</c:v>
                </c:pt>
                <c:pt idx="8">
                  <c:v>8.724599999999997</c:v>
                </c:pt>
                <c:pt idx="9">
                  <c:v>8.7242749999999951</c:v>
                </c:pt>
                <c:pt idx="10">
                  <c:v>8.7249499999999927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2D-4A67-B4F6-AE9C1B98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801488"/>
        <c:axId val="1638807248"/>
      </c:scatterChart>
      <c:valAx>
        <c:axId val="16388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07248"/>
        <c:crosses val="autoZero"/>
        <c:crossBetween val="midCat"/>
      </c:valAx>
      <c:valAx>
        <c:axId val="16388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50</xdr:row>
      <xdr:rowOff>19050</xdr:rowOff>
    </xdr:from>
    <xdr:to>
      <xdr:col>8</xdr:col>
      <xdr:colOff>104775</xdr:colOff>
      <xdr:row>64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94B78-8572-186C-CA4D-93E8A5762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8E5A-5CFB-4B06-B335-50DFD768D53E}">
  <dimension ref="B2:E11"/>
  <sheetViews>
    <sheetView topLeftCell="A4" workbookViewId="0">
      <selection activeCell="B12" sqref="B12"/>
    </sheetView>
  </sheetViews>
  <sheetFormatPr defaultRowHeight="15" x14ac:dyDescent="0.25"/>
  <cols>
    <col min="2" max="2" width="17.5703125" customWidth="1"/>
    <col min="4" max="4" width="12.28515625" customWidth="1"/>
    <col min="5" max="5" width="13.42578125" customWidth="1"/>
  </cols>
  <sheetData>
    <row r="2" spans="2:5" ht="24" thickBot="1" x14ac:dyDescent="0.4">
      <c r="B2" s="3" t="s">
        <v>0</v>
      </c>
      <c r="C2" s="3"/>
      <c r="D2" s="3"/>
      <c r="E2" s="3"/>
    </row>
    <row r="3" spans="2:5" ht="15.75" thickTop="1" x14ac:dyDescent="0.25"/>
    <row r="4" spans="2:5" ht="20.25" thickBot="1" x14ac:dyDescent="0.35">
      <c r="B4" s="1" t="s">
        <v>7</v>
      </c>
    </row>
    <row r="5" spans="2:5" ht="21" thickTop="1" thickBot="1" x14ac:dyDescent="0.35">
      <c r="B5" s="1" t="s">
        <v>4</v>
      </c>
    </row>
    <row r="6" spans="2:5" ht="21" thickTop="1" thickBot="1" x14ac:dyDescent="0.35">
      <c r="B6" s="1" t="s">
        <v>5</v>
      </c>
    </row>
    <row r="7" spans="2:5" ht="21" thickTop="1" thickBot="1" x14ac:dyDescent="0.35">
      <c r="B7" s="1" t="s">
        <v>8</v>
      </c>
    </row>
    <row r="8" spans="2:5" ht="15.75" thickTop="1" x14ac:dyDescent="0.25"/>
    <row r="9" spans="2:5" ht="20.25" thickBot="1" x14ac:dyDescent="0.3">
      <c r="B9" s="2" t="s">
        <v>6</v>
      </c>
      <c r="C9" s="2" t="s">
        <v>1</v>
      </c>
      <c r="D9" s="2" t="s">
        <v>2</v>
      </c>
      <c r="E9" s="2" t="s">
        <v>3</v>
      </c>
    </row>
    <row r="10" spans="2:5" ht="15.75" thickTop="1" x14ac:dyDescent="0.25"/>
    <row r="11" spans="2:5" x14ac:dyDescent="0.25">
      <c r="B11">
        <v>0.1</v>
      </c>
      <c r="D11">
        <v>2.0499999999999998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57CB-9D94-497F-85D4-EE328232E21F}">
  <dimension ref="A3:U48"/>
  <sheetViews>
    <sheetView tabSelected="1" workbookViewId="0">
      <selection activeCell="R20" sqref="R20"/>
    </sheetView>
  </sheetViews>
  <sheetFormatPr defaultRowHeight="15" x14ac:dyDescent="0.25"/>
  <sheetData>
    <row r="3" spans="1:21" ht="23.25" x14ac:dyDescent="0.25">
      <c r="B3" s="6">
        <v>0.1</v>
      </c>
      <c r="C3" s="7">
        <v>0.2</v>
      </c>
      <c r="D3" s="7">
        <v>0.3</v>
      </c>
      <c r="E3" s="7">
        <v>0.4</v>
      </c>
      <c r="F3" s="7">
        <v>0.5</v>
      </c>
      <c r="G3" s="7">
        <v>0.6</v>
      </c>
      <c r="H3" s="7">
        <v>0.7</v>
      </c>
      <c r="I3" s="7">
        <v>0.8</v>
      </c>
      <c r="J3" s="7">
        <v>0.9</v>
      </c>
      <c r="K3" s="7">
        <v>1</v>
      </c>
      <c r="L3" s="7">
        <v>1.1000000000000001</v>
      </c>
      <c r="M3" s="7"/>
      <c r="N3" s="7"/>
      <c r="O3" s="7"/>
      <c r="P3" s="7"/>
      <c r="Q3" s="7"/>
      <c r="R3" s="7"/>
    </row>
    <row r="4" spans="1:21" x14ac:dyDescent="0.25">
      <c r="T4" s="8" cm="1">
        <f t="array" ref="T4:T14">TRANSPOSE(B3:L3)</f>
        <v>0.1</v>
      </c>
      <c r="U4" s="8" cm="1">
        <f t="array" ref="U4:U14">(_xlfn.ANCHORARRAY(T4))/0.46</f>
        <v>0.21739130434782608</v>
      </c>
    </row>
    <row r="5" spans="1:21" x14ac:dyDescent="0.25">
      <c r="A5" s="5">
        <v>1</v>
      </c>
      <c r="B5" s="4">
        <v>6.0289999999999901</v>
      </c>
      <c r="C5" s="4">
        <v>5.9580000000000002</v>
      </c>
      <c r="D5" s="4">
        <v>5.9470000000000001</v>
      </c>
      <c r="E5" s="4">
        <v>5.9439999999999902</v>
      </c>
      <c r="F5" s="4">
        <v>5.9429999999999898</v>
      </c>
      <c r="G5" s="4">
        <v>5.9429999999999898</v>
      </c>
      <c r="H5" s="4">
        <v>5.9429999999999898</v>
      </c>
      <c r="I5" s="4">
        <v>5.9429999999999898</v>
      </c>
      <c r="J5" s="4">
        <v>5.9429999999999898</v>
      </c>
      <c r="K5" s="4">
        <v>5.9429999999999898</v>
      </c>
      <c r="L5" s="4">
        <v>5.9429999999999898</v>
      </c>
      <c r="N5" s="4">
        <v>5.9429999999999898</v>
      </c>
      <c r="O5" cm="1">
        <f t="array" ref="O5:O15">TRANSPOSE(B47:L47)</f>
        <v>8.7623499999999961</v>
      </c>
      <c r="P5" s="4" cm="1">
        <f t="array" ref="P5:P15">(_xlfn.ANCHORARRAY(O5))/N47</f>
        <v>1.0042318855528527</v>
      </c>
      <c r="T5" s="8">
        <v>0.2</v>
      </c>
      <c r="U5" s="8">
        <v>0.43478260869565216</v>
      </c>
    </row>
    <row r="6" spans="1:21" x14ac:dyDescent="0.25">
      <c r="A6" s="5">
        <v>2</v>
      </c>
      <c r="B6" s="4">
        <v>9.0709999999999908</v>
      </c>
      <c r="C6" s="4">
        <v>8.9909999999999908</v>
      </c>
      <c r="D6" s="4">
        <v>8.9760000000000009</v>
      </c>
      <c r="E6" s="4">
        <v>8.9719999999999906</v>
      </c>
      <c r="F6" s="4">
        <v>8.9710000000000001</v>
      </c>
      <c r="G6" s="4">
        <v>8.9700000000000006</v>
      </c>
      <c r="H6" s="4">
        <v>8.9700000000000006</v>
      </c>
      <c r="I6" s="4">
        <v>8.9700000000000006</v>
      </c>
      <c r="J6" s="4">
        <v>8.9700000000000006</v>
      </c>
      <c r="K6" s="4">
        <v>8.9700000000000006</v>
      </c>
      <c r="L6" s="4">
        <v>8.9700000000000006</v>
      </c>
      <c r="N6" s="4">
        <v>8.9700000000000006</v>
      </c>
      <c r="O6">
        <v>8.7285749999999958</v>
      </c>
      <c r="P6">
        <v>1.0003610139334187</v>
      </c>
      <c r="T6" s="8">
        <v>0.3</v>
      </c>
      <c r="U6" s="8">
        <v>0.65217391304347816</v>
      </c>
    </row>
    <row r="7" spans="1:21" x14ac:dyDescent="0.25">
      <c r="A7" s="5">
        <v>3</v>
      </c>
      <c r="B7" s="4">
        <v>9.1319999999999908</v>
      </c>
      <c r="C7" s="4">
        <v>9.0730000000000004</v>
      </c>
      <c r="D7" s="4">
        <v>9.06</v>
      </c>
      <c r="E7" s="4">
        <v>9.0570000000000004</v>
      </c>
      <c r="F7" s="4">
        <v>9.0559999999999903</v>
      </c>
      <c r="G7" s="4">
        <v>9.0549999999999908</v>
      </c>
      <c r="H7" s="4">
        <v>9.0549999999999908</v>
      </c>
      <c r="I7" s="4">
        <v>9.0549999999999908</v>
      </c>
      <c r="J7" s="4">
        <v>9.0549999999999908</v>
      </c>
      <c r="K7" s="4">
        <v>9.0549999999999908</v>
      </c>
      <c r="L7" s="4">
        <v>9.0549999999999908</v>
      </c>
      <c r="N7" s="4">
        <v>9.0540000000000003</v>
      </c>
      <c r="O7">
        <v>8.7282999999999937</v>
      </c>
      <c r="P7">
        <v>1.0003294968439931</v>
      </c>
      <c r="T7" s="8">
        <v>0.4</v>
      </c>
      <c r="U7" s="8">
        <v>0.86956521739130432</v>
      </c>
    </row>
    <row r="8" spans="1:21" x14ac:dyDescent="0.25">
      <c r="A8" s="5">
        <v>4</v>
      </c>
      <c r="B8" s="4">
        <v>9.1750000000000007</v>
      </c>
      <c r="C8" s="4">
        <v>9.14</v>
      </c>
      <c r="D8" s="4">
        <v>9.1329999999999902</v>
      </c>
      <c r="E8" s="4">
        <v>9.1310000000000002</v>
      </c>
      <c r="F8" s="4">
        <v>9.1300000000000008</v>
      </c>
      <c r="G8" s="4">
        <v>9.1300000000000008</v>
      </c>
      <c r="H8" s="4">
        <v>9.1300000000000008</v>
      </c>
      <c r="I8" s="4">
        <v>9.1300000000000008</v>
      </c>
      <c r="J8" s="4">
        <v>9.1300000000000008</v>
      </c>
      <c r="K8" s="4">
        <v>9.1300000000000008</v>
      </c>
      <c r="L8" s="4">
        <v>9.1300000000000008</v>
      </c>
      <c r="N8" s="4">
        <v>9.1300000000000008</v>
      </c>
      <c r="O8">
        <v>8.7270249999999976</v>
      </c>
      <c r="P8">
        <v>1.0001833721566573</v>
      </c>
      <c r="T8" s="8">
        <v>0.5</v>
      </c>
      <c r="U8" s="8">
        <v>1.0869565217391304</v>
      </c>
    </row>
    <row r="9" spans="1:21" x14ac:dyDescent="0.25">
      <c r="A9" s="5">
        <v>5</v>
      </c>
      <c r="B9" s="4">
        <v>9.2070000000000007</v>
      </c>
      <c r="C9" s="4">
        <v>9.1940000000000008</v>
      </c>
      <c r="D9" s="4">
        <v>9.1940000000000008</v>
      </c>
      <c r="E9" s="4">
        <v>9.1940000000000008</v>
      </c>
      <c r="F9" s="4">
        <v>9.1940000000000008</v>
      </c>
      <c r="G9" s="4">
        <v>9.1940000000000008</v>
      </c>
      <c r="H9" s="4">
        <v>9.1940000000000008</v>
      </c>
      <c r="I9" s="4">
        <v>9.1940000000000008</v>
      </c>
      <c r="J9" s="4">
        <v>9.1940000000000008</v>
      </c>
      <c r="K9" s="4">
        <v>9.1940000000000008</v>
      </c>
      <c r="L9" s="4">
        <v>9.1940000000000008</v>
      </c>
      <c r="N9" s="4">
        <v>9.1940000000000008</v>
      </c>
      <c r="O9">
        <v>8.7269749999999959</v>
      </c>
      <c r="P9">
        <v>1.0001776417767616</v>
      </c>
      <c r="T9" s="8">
        <v>0.6</v>
      </c>
      <c r="U9" s="8">
        <v>1.3043478260869563</v>
      </c>
    </row>
    <row r="10" spans="1:21" x14ac:dyDescent="0.25">
      <c r="A10" s="5">
        <v>6</v>
      </c>
      <c r="B10" s="4">
        <v>9.2370000000000001</v>
      </c>
      <c r="C10" s="4">
        <v>9.2460000000000004</v>
      </c>
      <c r="D10" s="4">
        <v>9.2530000000000001</v>
      </c>
      <c r="E10" s="4">
        <v>9.2550000000000008</v>
      </c>
      <c r="F10" s="4">
        <v>9.2550000000000008</v>
      </c>
      <c r="G10" s="4">
        <v>9.2560000000000002</v>
      </c>
      <c r="H10" s="4">
        <v>9.2560000000000002</v>
      </c>
      <c r="I10" s="4">
        <v>9.2560000000000002</v>
      </c>
      <c r="J10" s="4">
        <v>9.2560000000000002</v>
      </c>
      <c r="K10" s="4">
        <v>9.2560000000000002</v>
      </c>
      <c r="L10" s="4">
        <v>9.2560000000000002</v>
      </c>
      <c r="N10" s="4">
        <v>9.2550000000000008</v>
      </c>
      <c r="O10">
        <v>8.7215499999999988</v>
      </c>
      <c r="P10">
        <v>0.99955589555809632</v>
      </c>
      <c r="T10" s="8">
        <v>0.7</v>
      </c>
      <c r="U10" s="8">
        <v>1.5217391304347825</v>
      </c>
    </row>
    <row r="11" spans="1:21" x14ac:dyDescent="0.25">
      <c r="A11" s="5">
        <v>7</v>
      </c>
      <c r="B11" s="4">
        <v>9.2769999999999904</v>
      </c>
      <c r="C11" s="4">
        <v>9.3089999999999904</v>
      </c>
      <c r="D11" s="4">
        <v>9.3209999999999908</v>
      </c>
      <c r="E11" s="4">
        <v>9.3249999999999904</v>
      </c>
      <c r="F11" s="4">
        <v>9.3260000000000005</v>
      </c>
      <c r="G11" s="4">
        <v>9.3260000000000005</v>
      </c>
      <c r="H11" s="4">
        <v>9.3260000000000005</v>
      </c>
      <c r="I11" s="4">
        <v>9.3260000000000005</v>
      </c>
      <c r="J11" s="4">
        <v>9.3260000000000005</v>
      </c>
      <c r="K11" s="4">
        <v>9.3260000000000005</v>
      </c>
      <c r="L11" s="4">
        <v>9.3260000000000005</v>
      </c>
      <c r="N11" s="4">
        <v>9.3260000000000005</v>
      </c>
      <c r="O11">
        <v>8.726174999999996</v>
      </c>
      <c r="P11">
        <v>1.0000859556984329</v>
      </c>
      <c r="T11" s="8">
        <v>0.8</v>
      </c>
      <c r="U11" s="8">
        <v>1.7391304347826086</v>
      </c>
    </row>
    <row r="12" spans="1:21" x14ac:dyDescent="0.25">
      <c r="A12" s="5">
        <v>8</v>
      </c>
      <c r="B12" s="4">
        <v>9.3510000000000009</v>
      </c>
      <c r="C12" s="4">
        <v>9.4030000000000005</v>
      </c>
      <c r="D12" s="4">
        <v>9.4169999999999892</v>
      </c>
      <c r="E12" s="4">
        <v>9.4209999999999905</v>
      </c>
      <c r="F12" s="4">
        <v>9.4220000000000006</v>
      </c>
      <c r="G12" s="4">
        <v>9.4220000000000006</v>
      </c>
      <c r="H12" s="4">
        <v>9.4220000000000006</v>
      </c>
      <c r="I12" s="4">
        <v>9.4220000000000006</v>
      </c>
      <c r="J12" s="4">
        <v>9.4220000000000006</v>
      </c>
      <c r="K12" s="4">
        <v>9.4220000000000006</v>
      </c>
      <c r="L12" s="4">
        <v>9.4220000000000006</v>
      </c>
      <c r="N12" s="4">
        <v>9.4220000000000006</v>
      </c>
      <c r="O12">
        <v>8.7266499999999958</v>
      </c>
      <c r="P12">
        <v>1.0001403943074405</v>
      </c>
      <c r="T12" s="8">
        <v>0.9</v>
      </c>
      <c r="U12" s="8">
        <v>1.9565217391304348</v>
      </c>
    </row>
    <row r="13" spans="1:21" x14ac:dyDescent="0.25">
      <c r="A13" s="5">
        <v>9</v>
      </c>
      <c r="B13" s="4">
        <v>9.3439999999999905</v>
      </c>
      <c r="C13" s="4">
        <v>9.3960000000000008</v>
      </c>
      <c r="D13" s="4">
        <v>9.4060000000000006</v>
      </c>
      <c r="E13" s="4">
        <v>9.4079999999999906</v>
      </c>
      <c r="F13" s="4">
        <v>9.4090000000000007</v>
      </c>
      <c r="G13" s="4">
        <v>9.4090000000000007</v>
      </c>
      <c r="H13" s="4">
        <v>9.4090000000000007</v>
      </c>
      <c r="I13" s="4">
        <v>9.4090000000000007</v>
      </c>
      <c r="J13" s="4">
        <v>9.4090000000000007</v>
      </c>
      <c r="K13" s="4">
        <v>9.4090000000000007</v>
      </c>
      <c r="L13" s="4">
        <v>9.4090000000000007</v>
      </c>
      <c r="N13" s="4">
        <v>9.4090000000000007</v>
      </c>
      <c r="O13">
        <v>8.724599999999997</v>
      </c>
      <c r="P13">
        <v>0.99990544873172382</v>
      </c>
      <c r="T13" s="8">
        <v>1</v>
      </c>
      <c r="U13" s="8">
        <v>2.1739130434782608</v>
      </c>
    </row>
    <row r="14" spans="1:21" x14ac:dyDescent="0.25">
      <c r="A14" s="5">
        <v>10</v>
      </c>
      <c r="B14" s="4">
        <v>9.125</v>
      </c>
      <c r="C14" s="4">
        <v>9.1150000000000002</v>
      </c>
      <c r="D14" s="4">
        <v>9.1159999999999908</v>
      </c>
      <c r="E14" s="4">
        <v>9.1170000000000009</v>
      </c>
      <c r="F14" s="4">
        <v>9.1170000000000009</v>
      </c>
      <c r="G14" s="4">
        <v>9.1170000000000009</v>
      </c>
      <c r="H14" s="4">
        <v>9.1170000000000009</v>
      </c>
      <c r="I14" s="4">
        <v>9.1170000000000009</v>
      </c>
      <c r="J14" s="4">
        <v>9.1159999999999908</v>
      </c>
      <c r="K14" s="4">
        <v>9.1159999999999908</v>
      </c>
      <c r="L14" s="4">
        <v>9.1159999999999908</v>
      </c>
      <c r="N14" s="4">
        <v>9.1159999999999908</v>
      </c>
      <c r="O14">
        <v>8.7242749999999951</v>
      </c>
      <c r="P14">
        <v>0.99986820126240261</v>
      </c>
      <c r="T14" s="8">
        <v>1.1000000000000001</v>
      </c>
      <c r="U14" s="8">
        <v>2.3913043478260869</v>
      </c>
    </row>
    <row r="15" spans="1:21" x14ac:dyDescent="0.25">
      <c r="A15" s="5">
        <v>11</v>
      </c>
      <c r="B15" s="4">
        <v>8.8219999999999903</v>
      </c>
      <c r="C15" s="4">
        <v>8.7530000000000001</v>
      </c>
      <c r="D15" s="4">
        <v>8.7460000000000004</v>
      </c>
      <c r="E15" s="4">
        <v>8.7460000000000004</v>
      </c>
      <c r="F15" s="4">
        <v>8.7469999999999892</v>
      </c>
      <c r="G15" s="4">
        <v>8.7449999999999903</v>
      </c>
      <c r="H15" s="4">
        <v>8.7449999999999903</v>
      </c>
      <c r="I15" s="4">
        <v>8.7449999999999903</v>
      </c>
      <c r="J15" s="4">
        <v>8.7449999999999903</v>
      </c>
      <c r="K15" s="4">
        <v>8.7449999999999903</v>
      </c>
      <c r="L15" s="4">
        <v>8.7439999999999891</v>
      </c>
      <c r="N15" s="4">
        <v>8.7439999999999891</v>
      </c>
      <c r="O15">
        <v>8.7249499999999927</v>
      </c>
      <c r="P15">
        <v>0.999945561390992</v>
      </c>
    </row>
    <row r="16" spans="1:21" x14ac:dyDescent="0.25">
      <c r="A16" s="5">
        <v>12</v>
      </c>
      <c r="B16" s="4">
        <v>8.8040000000000003</v>
      </c>
      <c r="C16" s="4">
        <v>8.7289999999999903</v>
      </c>
      <c r="D16" s="4">
        <v>8.7100000000000009</v>
      </c>
      <c r="E16" s="4">
        <v>8.7129999999999903</v>
      </c>
      <c r="F16" s="4">
        <v>8.7149999999999892</v>
      </c>
      <c r="G16" s="4">
        <v>8.7080000000000002</v>
      </c>
      <c r="H16" s="4">
        <v>8.7129999999999903</v>
      </c>
      <c r="I16" s="4">
        <v>8.7140000000000004</v>
      </c>
      <c r="J16" s="4">
        <v>8.7100000000000009</v>
      </c>
      <c r="K16" s="4">
        <v>8.7100000000000009</v>
      </c>
      <c r="L16" s="4">
        <v>8.7119999999999909</v>
      </c>
      <c r="N16" s="4">
        <v>8.7089999999999907</v>
      </c>
    </row>
    <row r="17" spans="1:14" x14ac:dyDescent="0.25">
      <c r="A17" s="5">
        <v>13</v>
      </c>
      <c r="B17" s="4">
        <v>8.8599999999999905</v>
      </c>
      <c r="C17" s="4">
        <v>8.8000000000000007</v>
      </c>
      <c r="D17" s="4">
        <v>8.7799999999999905</v>
      </c>
      <c r="E17" s="4">
        <v>8.7850000000000001</v>
      </c>
      <c r="F17" s="4">
        <v>8.7889999999999908</v>
      </c>
      <c r="G17" s="4">
        <v>8.7810000000000006</v>
      </c>
      <c r="H17" s="4">
        <v>8.7880000000000003</v>
      </c>
      <c r="I17" s="4">
        <v>8.7889999999999908</v>
      </c>
      <c r="J17" s="4">
        <v>8.7850000000000001</v>
      </c>
      <c r="K17" s="4">
        <v>8.7850000000000001</v>
      </c>
      <c r="L17" s="4">
        <v>8.7870000000000008</v>
      </c>
      <c r="N17" s="4">
        <v>8.7850000000000001</v>
      </c>
    </row>
    <row r="18" spans="1:14" x14ac:dyDescent="0.25">
      <c r="A18" s="5">
        <v>14</v>
      </c>
      <c r="B18" s="4">
        <v>8.9030000000000005</v>
      </c>
      <c r="C18" s="4">
        <v>8.8589999999999893</v>
      </c>
      <c r="D18" s="4">
        <v>8.8490000000000002</v>
      </c>
      <c r="E18" s="4">
        <v>8.8499999999999908</v>
      </c>
      <c r="F18" s="4">
        <v>8.8529999999999909</v>
      </c>
      <c r="G18" s="4">
        <v>8.8460000000000001</v>
      </c>
      <c r="H18" s="4">
        <v>8.8520000000000003</v>
      </c>
      <c r="I18" s="4">
        <v>8.8529999999999909</v>
      </c>
      <c r="J18" s="4">
        <v>8.8499999999999908</v>
      </c>
      <c r="K18" s="4">
        <v>8.8499999999999908</v>
      </c>
      <c r="L18" s="4">
        <v>8.8499999999999908</v>
      </c>
      <c r="N18" s="4">
        <v>8.8490000000000002</v>
      </c>
    </row>
    <row r="19" spans="1:14" x14ac:dyDescent="0.25">
      <c r="A19" s="5">
        <v>15</v>
      </c>
      <c r="B19" s="4">
        <v>8.9290000000000003</v>
      </c>
      <c r="C19" s="4">
        <v>8.9049999999999905</v>
      </c>
      <c r="D19" s="4">
        <v>8.8949999999999907</v>
      </c>
      <c r="E19" s="4">
        <v>8.9009999999999891</v>
      </c>
      <c r="F19" s="4">
        <v>8.9049999999999905</v>
      </c>
      <c r="G19" s="4">
        <v>8.8940000000000001</v>
      </c>
      <c r="H19" s="4">
        <v>8.9009999999999891</v>
      </c>
      <c r="I19" s="4">
        <v>8.9049999999999905</v>
      </c>
      <c r="J19" s="4">
        <v>8.9</v>
      </c>
      <c r="K19" s="4">
        <v>8.8989999999999903</v>
      </c>
      <c r="L19" s="4">
        <v>8.9</v>
      </c>
      <c r="N19" s="4">
        <v>8.8989999999999903</v>
      </c>
    </row>
    <row r="20" spans="1:14" x14ac:dyDescent="0.25">
      <c r="A20" s="5">
        <v>16</v>
      </c>
      <c r="B20" s="4">
        <v>8.9429999999999907</v>
      </c>
      <c r="C20" s="4">
        <v>8.9369999999999905</v>
      </c>
      <c r="D20" s="4">
        <v>8.9329999999999892</v>
      </c>
      <c r="E20" s="4">
        <v>8.9359999999999893</v>
      </c>
      <c r="F20" s="4">
        <v>8.9390000000000001</v>
      </c>
      <c r="G20" s="4">
        <v>8.9380000000000006</v>
      </c>
      <c r="H20" s="4">
        <v>8.9399999999999906</v>
      </c>
      <c r="I20" s="4">
        <v>8.9399999999999906</v>
      </c>
      <c r="J20" s="4">
        <v>8.9369999999999905</v>
      </c>
      <c r="K20" s="4">
        <v>8.9369999999999905</v>
      </c>
      <c r="L20" s="4">
        <v>8.9410000000000007</v>
      </c>
      <c r="N20" s="4">
        <v>8.9369999999999905</v>
      </c>
    </row>
    <row r="21" spans="1:14" x14ac:dyDescent="0.25">
      <c r="A21" s="5">
        <v>17</v>
      </c>
      <c r="B21" s="4">
        <v>8.9600000000000009</v>
      </c>
      <c r="C21" s="4">
        <v>8.9700000000000006</v>
      </c>
      <c r="D21" s="4">
        <v>8.9779999999999909</v>
      </c>
      <c r="E21" s="4">
        <v>8.9789999999999903</v>
      </c>
      <c r="F21" s="4">
        <v>8.9879999999999907</v>
      </c>
      <c r="G21" s="4">
        <v>8.9870000000000001</v>
      </c>
      <c r="H21" s="4">
        <v>8.9870000000000001</v>
      </c>
      <c r="I21" s="4">
        <v>8.9849999999999905</v>
      </c>
      <c r="J21" s="4">
        <v>8.9819999999999904</v>
      </c>
      <c r="K21" s="4">
        <v>8.9809999999999892</v>
      </c>
      <c r="L21" s="4">
        <v>8.9860000000000007</v>
      </c>
      <c r="N21" s="4">
        <v>8.98</v>
      </c>
    </row>
    <row r="22" spans="1:14" x14ac:dyDescent="0.25">
      <c r="A22" s="5">
        <v>18</v>
      </c>
      <c r="B22" s="4">
        <v>9.0670000000000002</v>
      </c>
      <c r="C22" s="4">
        <v>9.0960000000000001</v>
      </c>
      <c r="D22" s="4">
        <v>9.1050000000000004</v>
      </c>
      <c r="E22" s="4">
        <v>9.1099999999999905</v>
      </c>
      <c r="F22" s="4">
        <v>9.1110000000000007</v>
      </c>
      <c r="G22" s="4">
        <v>9.1140000000000008</v>
      </c>
      <c r="H22" s="4">
        <v>9.1150000000000002</v>
      </c>
      <c r="I22" s="4">
        <v>9.1099999999999905</v>
      </c>
      <c r="J22" s="4">
        <v>9.1089999999999893</v>
      </c>
      <c r="K22" s="4">
        <v>9.1089999999999893</v>
      </c>
      <c r="L22" s="4">
        <v>9.1110000000000007</v>
      </c>
      <c r="N22" s="4">
        <v>9.1110000000000007</v>
      </c>
    </row>
    <row r="23" spans="1:14" x14ac:dyDescent="0.25">
      <c r="A23" s="5">
        <v>19</v>
      </c>
      <c r="B23" s="4">
        <v>9.0579999999999892</v>
      </c>
      <c r="C23" s="4">
        <v>9.0899999999999892</v>
      </c>
      <c r="D23" s="4">
        <v>9.0960000000000001</v>
      </c>
      <c r="E23" s="4">
        <v>9.1010000000000009</v>
      </c>
      <c r="F23" s="4">
        <v>9.0999999999999908</v>
      </c>
      <c r="G23" s="4">
        <v>9.1010000000000009</v>
      </c>
      <c r="H23" s="4">
        <v>9.1029999999999909</v>
      </c>
      <c r="I23" s="4">
        <v>9.0980000000000008</v>
      </c>
      <c r="J23" s="4">
        <v>9.0960000000000001</v>
      </c>
      <c r="K23" s="4">
        <v>9.0969999999999906</v>
      </c>
      <c r="L23" s="4">
        <v>9.0980000000000008</v>
      </c>
      <c r="N23" s="4">
        <v>9.0990000000000002</v>
      </c>
    </row>
    <row r="24" spans="1:14" x14ac:dyDescent="0.25">
      <c r="A24" s="5">
        <v>20</v>
      </c>
      <c r="B24" s="4">
        <v>8.8650000000000002</v>
      </c>
      <c r="C24" s="4">
        <v>8.8770000000000007</v>
      </c>
      <c r="D24" s="4">
        <v>8.8650000000000002</v>
      </c>
      <c r="E24" s="4">
        <v>8.8689999999999891</v>
      </c>
      <c r="F24" s="4">
        <v>8.8659999999999908</v>
      </c>
      <c r="G24" s="4">
        <v>8.8580000000000005</v>
      </c>
      <c r="H24" s="4">
        <v>8.8529999999999909</v>
      </c>
      <c r="I24" s="4">
        <v>8.8550000000000004</v>
      </c>
      <c r="J24" s="4">
        <v>8.8550000000000004</v>
      </c>
      <c r="K24" s="4">
        <v>8.8539999999999903</v>
      </c>
      <c r="L24" s="4">
        <v>8.8559999999999892</v>
      </c>
      <c r="N24" s="4">
        <v>8.8559999999999892</v>
      </c>
    </row>
    <row r="25" spans="1:14" x14ac:dyDescent="0.25">
      <c r="A25" s="5">
        <v>21</v>
      </c>
      <c r="B25" s="4">
        <v>8.6050000000000004</v>
      </c>
      <c r="C25" s="4">
        <v>8.532</v>
      </c>
      <c r="D25" s="4">
        <v>8.5419999999999892</v>
      </c>
      <c r="E25" s="4">
        <v>8.5380000000000003</v>
      </c>
      <c r="F25" s="4">
        <v>8.5350000000000001</v>
      </c>
      <c r="G25" s="4">
        <v>8.5419999999999892</v>
      </c>
      <c r="H25" s="4">
        <v>8.5389999999999908</v>
      </c>
      <c r="I25" s="4">
        <v>8.5380000000000003</v>
      </c>
      <c r="J25" s="4">
        <v>8.5370000000000008</v>
      </c>
      <c r="K25" s="4">
        <v>8.5370000000000008</v>
      </c>
      <c r="L25" s="4">
        <v>8.5389999999999908</v>
      </c>
      <c r="N25" s="4">
        <v>8.5389999999999908</v>
      </c>
    </row>
    <row r="26" spans="1:14" x14ac:dyDescent="0.25">
      <c r="A26" s="5">
        <v>22</v>
      </c>
      <c r="B26" s="4">
        <v>8.5999999999999908</v>
      </c>
      <c r="C26" s="4">
        <v>8.5120000000000005</v>
      </c>
      <c r="D26" s="4">
        <v>8.5060000000000002</v>
      </c>
      <c r="E26" s="4">
        <v>8.5050000000000008</v>
      </c>
      <c r="F26" s="4">
        <v>8.5039999999999907</v>
      </c>
      <c r="G26" s="4">
        <v>8.5069999999999908</v>
      </c>
      <c r="H26" s="4">
        <v>8.5050000000000008</v>
      </c>
      <c r="I26" s="4">
        <v>8.5060000000000002</v>
      </c>
      <c r="J26" s="4">
        <v>8.5020000000000007</v>
      </c>
      <c r="K26" s="4">
        <v>8.5020000000000007</v>
      </c>
      <c r="L26" s="4">
        <v>8.5060000000000002</v>
      </c>
      <c r="N26" s="4">
        <v>8.5060000000000002</v>
      </c>
    </row>
    <row r="27" spans="1:14" x14ac:dyDescent="0.25">
      <c r="A27" s="5">
        <v>23</v>
      </c>
      <c r="B27" s="4">
        <v>8.66</v>
      </c>
      <c r="C27" s="4">
        <v>8.5890000000000004</v>
      </c>
      <c r="D27" s="4">
        <v>8.5749999999999904</v>
      </c>
      <c r="E27" s="4">
        <v>8.5730000000000004</v>
      </c>
      <c r="F27" s="4">
        <v>8.5719999999999903</v>
      </c>
      <c r="G27" s="4">
        <v>8.5739999999999892</v>
      </c>
      <c r="H27" s="4">
        <v>8.5739999999999892</v>
      </c>
      <c r="I27" s="4">
        <v>8.5709999999999908</v>
      </c>
      <c r="J27" s="4">
        <v>8.57</v>
      </c>
      <c r="K27" s="4">
        <v>8.57</v>
      </c>
      <c r="L27" s="4">
        <v>8.5719999999999903</v>
      </c>
      <c r="N27" s="4">
        <v>8.5709999999999908</v>
      </c>
    </row>
    <row r="28" spans="1:14" x14ac:dyDescent="0.25">
      <c r="A28" s="5">
        <v>24</v>
      </c>
      <c r="B28" s="4">
        <v>8.7319999999999904</v>
      </c>
      <c r="C28" s="4">
        <v>8.673</v>
      </c>
      <c r="D28" s="4">
        <v>8.6649999999999903</v>
      </c>
      <c r="E28" s="4">
        <v>8.6620000000000008</v>
      </c>
      <c r="F28" s="4">
        <v>8.66</v>
      </c>
      <c r="G28" s="4">
        <v>8.6649999999999903</v>
      </c>
      <c r="H28" s="4">
        <v>8.6630000000000003</v>
      </c>
      <c r="I28" s="4">
        <v>8.6579999999999906</v>
      </c>
      <c r="J28" s="4">
        <v>8.66</v>
      </c>
      <c r="K28" s="4">
        <v>8.6590000000000007</v>
      </c>
      <c r="L28" s="4">
        <v>8.66</v>
      </c>
      <c r="N28" s="4">
        <v>8.66</v>
      </c>
    </row>
    <row r="29" spans="1:14" x14ac:dyDescent="0.25">
      <c r="A29" s="5">
        <v>25</v>
      </c>
      <c r="B29" s="4">
        <v>8.7899999999999903</v>
      </c>
      <c r="C29" s="4">
        <v>8.7479999999999905</v>
      </c>
      <c r="D29" s="4">
        <v>8.7319999999999904</v>
      </c>
      <c r="E29" s="4">
        <v>8.7339999999999893</v>
      </c>
      <c r="F29" s="4">
        <v>8.7339999999999893</v>
      </c>
      <c r="G29" s="4">
        <v>8.7420000000000009</v>
      </c>
      <c r="H29" s="4">
        <v>8.7319999999999904</v>
      </c>
      <c r="I29" s="4">
        <v>8.7289999999999903</v>
      </c>
      <c r="J29" s="4">
        <v>8.7319999999999904</v>
      </c>
      <c r="K29" s="4">
        <v>8.7309999999999892</v>
      </c>
      <c r="L29" s="4">
        <v>8.7279999999999909</v>
      </c>
      <c r="N29" s="4">
        <v>8.73</v>
      </c>
    </row>
    <row r="30" spans="1:14" x14ac:dyDescent="0.25">
      <c r="A30" s="5">
        <v>26</v>
      </c>
      <c r="B30" s="4">
        <v>8.7929999999999904</v>
      </c>
      <c r="C30" s="4">
        <v>8.7669999999999906</v>
      </c>
      <c r="D30" s="4">
        <v>8.7680000000000007</v>
      </c>
      <c r="E30" s="4">
        <v>8.7729999999999908</v>
      </c>
      <c r="F30" s="4">
        <v>8.7750000000000004</v>
      </c>
      <c r="G30" s="4">
        <v>8.7759999999999891</v>
      </c>
      <c r="H30" s="4">
        <v>8.7739999999999903</v>
      </c>
      <c r="I30" s="4">
        <v>8.7699999999999907</v>
      </c>
      <c r="J30" s="4">
        <v>8.7710000000000008</v>
      </c>
      <c r="K30" s="4">
        <v>8.7680000000000007</v>
      </c>
      <c r="L30" s="4">
        <v>8.7690000000000001</v>
      </c>
      <c r="N30" s="4">
        <v>8.7680000000000007</v>
      </c>
    </row>
    <row r="31" spans="1:14" x14ac:dyDescent="0.25">
      <c r="A31" s="5">
        <v>27</v>
      </c>
      <c r="B31" s="4">
        <v>8.8810000000000002</v>
      </c>
      <c r="C31" s="4">
        <v>8.8580000000000005</v>
      </c>
      <c r="D31" s="4">
        <v>8.8610000000000007</v>
      </c>
      <c r="E31" s="4">
        <v>8.8650000000000002</v>
      </c>
      <c r="F31" s="4">
        <v>8.8640000000000008</v>
      </c>
      <c r="G31" s="4">
        <v>8.8659999999999908</v>
      </c>
      <c r="H31" s="4">
        <v>8.8680000000000003</v>
      </c>
      <c r="I31" s="4">
        <v>8.8689999999999891</v>
      </c>
      <c r="J31" s="4">
        <v>8.8620000000000001</v>
      </c>
      <c r="K31" s="4">
        <v>8.8620000000000001</v>
      </c>
      <c r="L31" s="4">
        <v>8.8689999999999891</v>
      </c>
      <c r="N31" s="4">
        <v>8.8680000000000003</v>
      </c>
    </row>
    <row r="32" spans="1:14" x14ac:dyDescent="0.25">
      <c r="A32" s="5">
        <v>28</v>
      </c>
      <c r="B32" s="4">
        <v>8.8360000000000003</v>
      </c>
      <c r="C32" s="4">
        <v>8.8610000000000007</v>
      </c>
      <c r="D32" s="4">
        <v>8.8629999999999907</v>
      </c>
      <c r="E32" s="4">
        <v>8.8780000000000001</v>
      </c>
      <c r="F32" s="4">
        <v>8.8670000000000009</v>
      </c>
      <c r="G32" s="4">
        <v>8.8710000000000004</v>
      </c>
      <c r="H32" s="4">
        <v>8.8529999999999909</v>
      </c>
      <c r="I32" s="4">
        <v>8.8759999999999906</v>
      </c>
      <c r="J32" s="4">
        <v>8.8759999999999906</v>
      </c>
      <c r="K32" s="4">
        <v>8.8689999999999891</v>
      </c>
      <c r="L32" s="4">
        <v>8.8680000000000003</v>
      </c>
      <c r="N32" s="4">
        <v>8.8580000000000005</v>
      </c>
    </row>
    <row r="33" spans="1:14" x14ac:dyDescent="0.25">
      <c r="A33" s="5">
        <v>29</v>
      </c>
      <c r="B33" s="4">
        <v>8.8350000000000009</v>
      </c>
      <c r="C33" s="4">
        <v>8.8599999999999905</v>
      </c>
      <c r="D33" s="4">
        <v>8.8569999999999904</v>
      </c>
      <c r="E33" s="4">
        <v>8.8550000000000004</v>
      </c>
      <c r="F33" s="4">
        <v>8.8569999999999904</v>
      </c>
      <c r="G33" s="4">
        <v>8.8510000000000009</v>
      </c>
      <c r="H33" s="4">
        <v>8.8510000000000009</v>
      </c>
      <c r="I33" s="4">
        <v>8.8490000000000002</v>
      </c>
      <c r="J33" s="4">
        <v>8.8539999999999903</v>
      </c>
      <c r="K33" s="4">
        <v>8.8499999999999908</v>
      </c>
      <c r="L33" s="4">
        <v>8.8529999999999909</v>
      </c>
      <c r="N33" s="4">
        <v>8.8450000000000006</v>
      </c>
    </row>
    <row r="34" spans="1:14" x14ac:dyDescent="0.25">
      <c r="A34" s="5">
        <v>30</v>
      </c>
      <c r="B34" s="4">
        <v>8.6519999999999904</v>
      </c>
      <c r="C34" s="4">
        <v>8.66</v>
      </c>
      <c r="D34" s="4">
        <v>8.6449999999999907</v>
      </c>
      <c r="E34" s="4">
        <v>8.6419999999999906</v>
      </c>
      <c r="F34" s="4">
        <v>8.6449999999999907</v>
      </c>
      <c r="G34" s="4">
        <v>8.641</v>
      </c>
      <c r="H34" s="4">
        <v>8.6460000000000008</v>
      </c>
      <c r="I34" s="4">
        <v>8.6310000000000002</v>
      </c>
      <c r="J34" s="4">
        <v>8.6470000000000002</v>
      </c>
      <c r="K34" s="4">
        <v>8.6440000000000001</v>
      </c>
      <c r="L34" s="4">
        <v>8.6430000000000007</v>
      </c>
      <c r="N34" s="4">
        <v>8.6379999999999892</v>
      </c>
    </row>
    <row r="35" spans="1:14" x14ac:dyDescent="0.25">
      <c r="A35" s="5">
        <v>31</v>
      </c>
      <c r="B35" s="4">
        <v>8.4109999999999907</v>
      </c>
      <c r="C35" s="4">
        <v>8.3379999999999903</v>
      </c>
      <c r="D35" s="4">
        <v>8.3369999999999909</v>
      </c>
      <c r="E35" s="4">
        <v>8.32</v>
      </c>
      <c r="F35" s="4">
        <v>8.3170000000000002</v>
      </c>
      <c r="G35" s="4">
        <v>8.3190000000000008</v>
      </c>
      <c r="H35" s="4">
        <v>8.3170000000000002</v>
      </c>
      <c r="I35" s="4">
        <v>8.3160000000000007</v>
      </c>
      <c r="J35" s="4">
        <v>8.3179999999999907</v>
      </c>
      <c r="K35" s="4">
        <v>8.3160000000000007</v>
      </c>
      <c r="L35" s="4">
        <v>8.3170000000000002</v>
      </c>
      <c r="N35" s="4">
        <v>8.3089999999999904</v>
      </c>
    </row>
    <row r="36" spans="1:14" x14ac:dyDescent="0.25">
      <c r="A36" s="5">
        <v>32</v>
      </c>
      <c r="B36" s="4">
        <v>8.3759999999999906</v>
      </c>
      <c r="C36" s="4">
        <v>8.2949999999999893</v>
      </c>
      <c r="D36" s="4">
        <v>8.2829999999999906</v>
      </c>
      <c r="E36" s="4">
        <v>8.2710000000000008</v>
      </c>
      <c r="F36" s="4">
        <v>8.266</v>
      </c>
      <c r="G36" s="4">
        <v>8.2599999999999891</v>
      </c>
      <c r="H36" s="4">
        <v>8.2739999999999903</v>
      </c>
      <c r="I36" s="4">
        <v>8.2639999999999905</v>
      </c>
      <c r="J36" s="4">
        <v>8.2720000000000002</v>
      </c>
      <c r="K36" s="4">
        <v>8.2690000000000001</v>
      </c>
      <c r="L36" s="4">
        <v>8.2629999999999892</v>
      </c>
      <c r="N36" s="4">
        <v>8.2609999999999904</v>
      </c>
    </row>
    <row r="37" spans="1:14" x14ac:dyDescent="0.25">
      <c r="A37" s="5">
        <v>33</v>
      </c>
      <c r="B37" s="4">
        <v>8.4299999999999908</v>
      </c>
      <c r="C37" s="4">
        <v>8.3629999999999907</v>
      </c>
      <c r="D37" s="4">
        <v>8.3520000000000003</v>
      </c>
      <c r="E37" s="4">
        <v>8.3369999999999909</v>
      </c>
      <c r="F37" s="4">
        <v>8.3320000000000007</v>
      </c>
      <c r="G37" s="4">
        <v>8.3269999999999893</v>
      </c>
      <c r="H37" s="4">
        <v>8.3369999999999909</v>
      </c>
      <c r="I37" s="4">
        <v>8.3269999999999893</v>
      </c>
      <c r="J37" s="4">
        <v>8.3339999999999907</v>
      </c>
      <c r="K37" s="4">
        <v>8.3320000000000007</v>
      </c>
      <c r="L37" s="4">
        <v>8.3279999999999905</v>
      </c>
      <c r="N37" s="4">
        <v>8.3249999999999904</v>
      </c>
    </row>
    <row r="38" spans="1:14" x14ac:dyDescent="0.25">
      <c r="A38" s="5">
        <v>34</v>
      </c>
      <c r="B38" s="4">
        <v>8.4969999999999892</v>
      </c>
      <c r="C38" s="4">
        <v>8.4190000000000005</v>
      </c>
      <c r="D38" s="4">
        <v>8.3970000000000002</v>
      </c>
      <c r="E38" s="4">
        <v>8.4030000000000005</v>
      </c>
      <c r="F38" s="4">
        <v>8.3829999999999902</v>
      </c>
      <c r="G38" s="4">
        <v>8.3770000000000007</v>
      </c>
      <c r="H38" s="4">
        <v>8.3849999999999891</v>
      </c>
      <c r="I38" s="4">
        <v>8.3770000000000007</v>
      </c>
      <c r="J38" s="4">
        <v>8.3810000000000002</v>
      </c>
      <c r="K38" s="4">
        <v>8.3780000000000001</v>
      </c>
      <c r="L38" s="4">
        <v>8.3780000000000001</v>
      </c>
      <c r="N38" s="4">
        <v>8.3740000000000006</v>
      </c>
    </row>
    <row r="39" spans="1:14" x14ac:dyDescent="0.25">
      <c r="A39" s="5">
        <v>35</v>
      </c>
      <c r="B39" s="4">
        <v>8.5030000000000001</v>
      </c>
      <c r="C39" s="4">
        <v>8.4499999999999904</v>
      </c>
      <c r="D39" s="4">
        <v>8.4350000000000005</v>
      </c>
      <c r="E39" s="4">
        <v>8.4239999999999906</v>
      </c>
      <c r="F39" s="4">
        <v>8.4179999999999904</v>
      </c>
      <c r="G39" s="4">
        <v>8.4079999999999906</v>
      </c>
      <c r="H39" s="4">
        <v>8.4250000000000007</v>
      </c>
      <c r="I39" s="4">
        <v>8.4130000000000003</v>
      </c>
      <c r="J39" s="4">
        <v>8.4190000000000005</v>
      </c>
      <c r="K39" s="4">
        <v>8.4190000000000005</v>
      </c>
      <c r="L39" s="4">
        <v>8.4160000000000004</v>
      </c>
      <c r="N39" s="4">
        <v>8.4130000000000003</v>
      </c>
    </row>
    <row r="40" spans="1:14" x14ac:dyDescent="0.25">
      <c r="A40" s="5">
        <v>36</v>
      </c>
      <c r="B40" s="4">
        <v>8.4819999999999904</v>
      </c>
      <c r="C40" s="4">
        <v>8.4339999999999904</v>
      </c>
      <c r="D40" s="4">
        <v>8.4239999999999906</v>
      </c>
      <c r="E40" s="4">
        <v>8.4149999999999903</v>
      </c>
      <c r="F40" s="4">
        <v>8.4179999999999904</v>
      </c>
      <c r="G40" s="4">
        <v>8.4090000000000007</v>
      </c>
      <c r="H40" s="4">
        <v>8.4220000000000006</v>
      </c>
      <c r="I40" s="4">
        <v>8.4160000000000004</v>
      </c>
      <c r="J40" s="4">
        <v>8.4169999999999892</v>
      </c>
      <c r="K40" s="4">
        <v>8.4130000000000003</v>
      </c>
      <c r="L40" s="4">
        <v>8.4120000000000008</v>
      </c>
      <c r="N40" s="4">
        <v>8.4199999999999893</v>
      </c>
    </row>
    <row r="41" spans="1:14" x14ac:dyDescent="0.25">
      <c r="A41" s="5">
        <v>37</v>
      </c>
      <c r="B41" s="4">
        <v>8.4930000000000003</v>
      </c>
      <c r="C41" s="4">
        <v>8.5239999999999903</v>
      </c>
      <c r="D41" s="4">
        <v>8.5289999999999893</v>
      </c>
      <c r="E41" s="4">
        <v>8.5169999999999906</v>
      </c>
      <c r="F41" s="4">
        <v>8.516</v>
      </c>
      <c r="G41" s="4">
        <v>8.5129999999999892</v>
      </c>
      <c r="H41" s="4">
        <v>8.5250000000000004</v>
      </c>
      <c r="I41" s="4">
        <v>8.5099999999999891</v>
      </c>
      <c r="J41" s="4">
        <v>8.516</v>
      </c>
      <c r="K41" s="4">
        <v>8.5079999999999902</v>
      </c>
      <c r="L41" s="4">
        <v>8.5069999999999908</v>
      </c>
      <c r="N41" s="4">
        <v>8.5050000000000008</v>
      </c>
    </row>
    <row r="42" spans="1:14" x14ac:dyDescent="0.25">
      <c r="A42" s="5">
        <v>38</v>
      </c>
      <c r="B42" s="4">
        <v>8.6310000000000002</v>
      </c>
      <c r="C42" s="4">
        <v>8.5370000000000008</v>
      </c>
      <c r="D42" s="4">
        <v>8.5500000000000007</v>
      </c>
      <c r="E42" s="4">
        <v>8.5350000000000001</v>
      </c>
      <c r="F42" s="4">
        <v>8.6020000000000003</v>
      </c>
      <c r="G42" s="4">
        <v>8.5500000000000007</v>
      </c>
      <c r="H42" s="4">
        <v>8.5660000000000007</v>
      </c>
      <c r="I42" s="4">
        <v>8.6140000000000008</v>
      </c>
      <c r="J42" s="4">
        <v>8.5359999999999907</v>
      </c>
      <c r="K42" s="4">
        <v>8.5850000000000009</v>
      </c>
      <c r="L42" s="4">
        <v>8.5419999999999892</v>
      </c>
      <c r="N42" s="4">
        <v>8.6159999999999908</v>
      </c>
    </row>
    <row r="43" spans="1:14" x14ac:dyDescent="0.25">
      <c r="A43" s="5">
        <v>39</v>
      </c>
      <c r="B43" s="4">
        <v>8.6549999999999905</v>
      </c>
      <c r="C43" s="4">
        <v>8.5210000000000008</v>
      </c>
      <c r="D43" s="4">
        <v>8.5999999999999908</v>
      </c>
      <c r="E43" s="4">
        <v>8.5950000000000006</v>
      </c>
      <c r="F43" s="4">
        <v>8.5769999999999893</v>
      </c>
      <c r="G43" s="4">
        <v>8.5210000000000008</v>
      </c>
      <c r="H43" s="4">
        <v>8.5739999999999892</v>
      </c>
      <c r="I43" s="4">
        <v>8.5969999999999906</v>
      </c>
      <c r="J43" s="4">
        <v>8.6010000000000009</v>
      </c>
      <c r="K43" s="4">
        <v>8.5769999999999893</v>
      </c>
      <c r="L43" s="4">
        <v>8.5929999999999893</v>
      </c>
      <c r="N43" s="4">
        <v>8.6010000000000009</v>
      </c>
    </row>
    <row r="44" spans="1:14" x14ac:dyDescent="0.25">
      <c r="A44" s="5">
        <v>40</v>
      </c>
      <c r="B44" s="4">
        <v>8.4730000000000008</v>
      </c>
      <c r="C44" s="4">
        <v>8.3610000000000007</v>
      </c>
      <c r="D44" s="4">
        <v>8.4309999999999903</v>
      </c>
      <c r="E44" s="4">
        <v>8.4250000000000007</v>
      </c>
      <c r="F44" s="4">
        <v>8.4009999999999891</v>
      </c>
      <c r="G44" s="4">
        <v>8.3490000000000002</v>
      </c>
      <c r="H44" s="4">
        <v>8.3979999999999908</v>
      </c>
      <c r="I44" s="4">
        <v>8.4190000000000005</v>
      </c>
      <c r="J44" s="4">
        <v>8.3889999999999905</v>
      </c>
      <c r="K44" s="4">
        <v>8.3940000000000001</v>
      </c>
      <c r="L44" s="4">
        <v>8.4290000000000003</v>
      </c>
      <c r="N44" s="4">
        <v>8.4220000000000006</v>
      </c>
    </row>
    <row r="47" spans="1:14" x14ac:dyDescent="0.25">
      <c r="B47" s="4">
        <f>AVERAGE(B5:B44)</f>
        <v>8.7623499999999961</v>
      </c>
      <c r="C47" s="4">
        <f t="shared" ref="C47:N47" si="0">AVERAGE(C5:C44)</f>
        <v>8.7285749999999958</v>
      </c>
      <c r="D47" s="4">
        <f t="shared" si="0"/>
        <v>8.7282999999999937</v>
      </c>
      <c r="E47" s="4">
        <f t="shared" si="0"/>
        <v>8.7270249999999976</v>
      </c>
      <c r="F47" s="4">
        <f t="shared" si="0"/>
        <v>8.7269749999999959</v>
      </c>
      <c r="G47" s="4">
        <f t="shared" si="0"/>
        <v>8.7215499999999988</v>
      </c>
      <c r="H47" s="4">
        <f t="shared" si="0"/>
        <v>8.726174999999996</v>
      </c>
      <c r="I47" s="4">
        <f t="shared" si="0"/>
        <v>8.7266499999999958</v>
      </c>
      <c r="J47" s="4">
        <f t="shared" si="0"/>
        <v>8.724599999999997</v>
      </c>
      <c r="K47" s="4">
        <f t="shared" si="0"/>
        <v>8.7242749999999951</v>
      </c>
      <c r="L47" s="4">
        <f t="shared" si="0"/>
        <v>8.7249499999999927</v>
      </c>
      <c r="M47" s="4"/>
      <c r="N47" s="4">
        <f t="shared" si="0"/>
        <v>8.725424999999996</v>
      </c>
    </row>
    <row r="48" spans="1:14" x14ac:dyDescent="0.25">
      <c r="B48" s="4" cm="1">
        <f t="array" ref="B48:L48">(B47:L47)/8.73</f>
        <v>1.0037056128293236</v>
      </c>
      <c r="C48">
        <v>0.99983676975944968</v>
      </c>
      <c r="D48">
        <v>0.99980526918671175</v>
      </c>
      <c r="E48">
        <v>0.99965922107674654</v>
      </c>
      <c r="F48">
        <v>0.99965349369988499</v>
      </c>
      <c r="G48">
        <v>0.99903207331042365</v>
      </c>
      <c r="H48">
        <v>0.99956185567010258</v>
      </c>
      <c r="I48">
        <v>0.99961626575028584</v>
      </c>
      <c r="J48">
        <v>0.99938144329896872</v>
      </c>
      <c r="K48">
        <v>0.99934421534936935</v>
      </c>
      <c r="L48">
        <v>0.99942153493699792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Karthick</dc:creator>
  <cp:lastModifiedBy>Harish Karthick</cp:lastModifiedBy>
  <dcterms:created xsi:type="dcterms:W3CDTF">2026-01-23T10:54:38Z</dcterms:created>
  <dcterms:modified xsi:type="dcterms:W3CDTF">2026-01-24T10:53:50Z</dcterms:modified>
</cp:coreProperties>
</file>